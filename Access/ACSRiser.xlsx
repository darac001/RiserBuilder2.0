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rko\Desktop\Athabasca\COMP495\"/>
    </mc:Choice>
  </mc:AlternateContent>
  <xr:revisionPtr revIDLastSave="0" documentId="13_ncr:1_{EDF7CD46-D1A7-47D1-9111-8E15A2E8087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OORS" sheetId="1" r:id="rId1"/>
    <sheet name="DOOR_TYPES" sheetId="2" r:id="rId2"/>
    <sheet name="BLOCK_LIBRARY" sheetId="4" r:id="rId3"/>
    <sheet name="PANEL_LIBRA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/>
  <c r="I46" i="1" a="1"/>
  <c r="I46" i="1" s="1"/>
  <c r="I47" i="1" a="1"/>
  <c r="I47" i="1" s="1"/>
  <c r="I48" i="1" a="1"/>
  <c r="I48" i="1" s="1"/>
  <c r="I49" i="1" a="1"/>
  <c r="I49" i="1" s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E5" i="1"/>
  <c r="E6" i="1"/>
  <c r="E7" i="1"/>
  <c r="E8" i="1"/>
  <c r="E9" i="1"/>
  <c r="E10" i="1"/>
  <c r="E11" i="1"/>
  <c r="E12" i="1"/>
  <c r="E13" i="1"/>
  <c r="E14" i="1"/>
  <c r="E15" i="1"/>
  <c r="E4" i="1"/>
  <c r="E3" i="1"/>
  <c r="E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2" i="1"/>
  <c r="H3" i="1"/>
  <c r="I3" i="1" s="1" a="1"/>
  <c r="I3" i="1" s="1"/>
  <c r="H4" i="1"/>
  <c r="I4" i="1" s="1" a="1"/>
  <c r="I4" i="1" s="1"/>
  <c r="H5" i="1"/>
  <c r="I5" i="1" s="1" a="1"/>
  <c r="I5" i="1" s="1"/>
  <c r="H6" i="1"/>
  <c r="I6" i="1" s="1" a="1"/>
  <c r="I6" i="1" s="1"/>
  <c r="H7" i="1"/>
  <c r="I7" i="1" s="1" a="1"/>
  <c r="I7" i="1" s="1"/>
  <c r="H8" i="1"/>
  <c r="I8" i="1" s="1" a="1"/>
  <c r="I8" i="1" s="1"/>
  <c r="H9" i="1"/>
  <c r="I9" i="1" s="1" a="1"/>
  <c r="I9" i="1" s="1"/>
  <c r="H10" i="1"/>
  <c r="I10" i="1" s="1" a="1"/>
  <c r="I10" i="1" s="1"/>
  <c r="H11" i="1"/>
  <c r="I11" i="1" s="1" a="1"/>
  <c r="I11" i="1" s="1"/>
  <c r="H12" i="1"/>
  <c r="I12" i="1" s="1" a="1"/>
  <c r="I12" i="1" s="1"/>
  <c r="H13" i="1"/>
  <c r="I13" i="1" s="1" a="1"/>
  <c r="I13" i="1" s="1"/>
  <c r="H14" i="1"/>
  <c r="I14" i="1" s="1" a="1"/>
  <c r="I14" i="1" s="1"/>
  <c r="H15" i="1"/>
  <c r="I15" i="1" s="1" a="1"/>
  <c r="I15" i="1" s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I2" i="1" s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<sst xmlns="http://schemas.openxmlformats.org/spreadsheetml/2006/main" count="255" uniqueCount="111">
  <si>
    <t>Door Type</t>
  </si>
  <si>
    <t>Devices</t>
  </si>
  <si>
    <t>Reader Count</t>
  </si>
  <si>
    <t>CR,DC,ES,RX</t>
  </si>
  <si>
    <t>CR,ES</t>
  </si>
  <si>
    <t>DC</t>
  </si>
  <si>
    <t>CR,DC</t>
  </si>
  <si>
    <t>Order</t>
  </si>
  <si>
    <t>Door ID</t>
  </si>
  <si>
    <t>Panel ID</t>
  </si>
  <si>
    <t>Cable(s)</t>
  </si>
  <si>
    <t>ACP-01</t>
  </si>
  <si>
    <t>ACP-02</t>
  </si>
  <si>
    <t>A,R</t>
  </si>
  <si>
    <t>KEYNOTE</t>
  </si>
  <si>
    <t>AO_Auto_Operator</t>
  </si>
  <si>
    <t>AO</t>
  </si>
  <si>
    <t>EP_Electric_Panic_Hdwr</t>
  </si>
  <si>
    <t>EP</t>
  </si>
  <si>
    <t>DC_Door_Contact_Recessed</t>
  </si>
  <si>
    <t>CK_Card_Reader_Keypad</t>
  </si>
  <si>
    <t>CK</t>
  </si>
  <si>
    <t>AC_Card_Reader</t>
  </si>
  <si>
    <t>CR</t>
  </si>
  <si>
    <t>ACP_FULL</t>
  </si>
  <si>
    <t>ES_Electric_Strike</t>
  </si>
  <si>
    <t>ES</t>
  </si>
  <si>
    <t>RX_Motion_REX</t>
  </si>
  <si>
    <t>RX</t>
  </si>
  <si>
    <t>ACP_FULL_W_Power_Supply</t>
  </si>
  <si>
    <t>DA_Duress_Alarm</t>
  </si>
  <si>
    <t>DA</t>
  </si>
  <si>
    <t>PS_Local</t>
  </si>
  <si>
    <t>PS</t>
  </si>
  <si>
    <t>Card Reader</t>
  </si>
  <si>
    <t>Electric Strike</t>
  </si>
  <si>
    <t>Keynote</t>
  </si>
  <si>
    <t>Auto Operator</t>
  </si>
  <si>
    <t>Motion REX</t>
  </si>
  <si>
    <t>Duress Alarm</t>
  </si>
  <si>
    <t>Electric Panic Hardware</t>
  </si>
  <si>
    <t>Door Contact, Recessed</t>
  </si>
  <si>
    <t>Card Reader w/ Keypad</t>
  </si>
  <si>
    <t>Local Power Supply</t>
  </si>
  <si>
    <t>Panel Type</t>
  </si>
  <si>
    <t>Block Name</t>
  </si>
  <si>
    <t>ACP</t>
  </si>
  <si>
    <t>ACP_PS</t>
  </si>
  <si>
    <t>External PSU Required</t>
  </si>
  <si>
    <t>YES</t>
  </si>
  <si>
    <t>NO</t>
  </si>
  <si>
    <t>Device Block Names</t>
  </si>
  <si>
    <t>Panel Block Name</t>
  </si>
  <si>
    <t>CR,CR,DC,ES</t>
  </si>
  <si>
    <t>A</t>
  </si>
  <si>
    <t>Acronym</t>
  </si>
  <si>
    <t>Description</t>
  </si>
  <si>
    <t>CR,DC,DC,EP,EP</t>
  </si>
  <si>
    <t>CR,DC,DC,EP,EP,AO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</si>
  <si>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</si>
  <si>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</si>
  <si>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</si>
  <si>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</si>
  <si>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</si>
  <si>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</si>
  <si>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</si>
  <si>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</si>
  <si>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</si>
  <si>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</si>
  <si>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</si>
  <si>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</si>
  <si>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</si>
  <si>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</si>
  <si>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</si>
  <si>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</si>
  <si>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</si>
  <si>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</si>
  <si>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</si>
  <si>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</si>
  <si>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</si>
  <si>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</si>
  <si>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</si>
  <si>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</si>
  <si>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</si>
  <si>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</si>
  <si>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</si>
  <si>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</si>
  <si>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</si>
  <si>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</si>
  <si>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</si>
  <si>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</si>
  <si>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</si>
  <si>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ACP-03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</si>
  <si>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</si>
  <si>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</si>
  <si>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</si>
  <si>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</si>
  <si>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</si>
  <si>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</si>
  <si>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</si>
  <si>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</si>
  <si>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</si>
  <si>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</si>
  <si>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</si>
  <si>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</si>
  <si>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</si>
  <si>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</si>
  <si>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</si>
  <si>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B</t>
  </si>
  <si>
    <t>PS Block Name</t>
  </si>
  <si>
    <t>ACPS_FULL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</si>
</sst>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>
      <selection activeCell="E19" sqref="E19"/>
    </sheetView>
  </sheetViews>
  <sheetFormatPr defaultRowHeight="15" x14ac:dyDescent="0.25"/>
  <cols>
    <col min="4" max="4" width="10.7109375" bestFit="1" customWidth="1"/>
    <col min="5" max="5" width="26.7109375" bestFit="1" customWidth="1"/>
    <col min="7" max="7" width="10" bestFit="1" customWidth="1"/>
    <col min="8" max="8" width="14.7109375" customWidth="1"/>
    <col min="9" max="9" width="84.42578125" bestFit="1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44</v>
      </c>
      <c r="E1" t="s">
        <v>52</v>
      </c>
      <c r="F1" t="s">
        <v>10</v>
      </c>
      <c r="G1" t="s">
        <v>0</v>
      </c>
      <c r="H1" t="s">
        <v>1</v>
      </c>
      <c r="I1" t="s">
        <v>51</v>
      </c>
    </row>
    <row r="2" spans="1:9" x14ac:dyDescent="0.25">
      <c r="A2">
        <f>ROW()-1</f>
        <v>1</v>
      </c>
      <c r="B2" s="2" t="s">
        <v>59</v>
      </c>
      <c r="C2" s="2" t="s">
        <v>11</v>
      </c>
      <c r="D2" s="2" t="s">
        <v>46</v>
      </c>
      <c r="E2" t="str">
        <f>_xlfn.XLOOKUP(D2,PANEL_LIBRARY!A:A,PANEL_LIBRARY!B:B,"NOT FOUND")</f>
        <v>ACP_FULL</v>
      </c>
      <c r="F2" t="s">
        <v>54</v>
      </c>
      <c r="G2" s="2">
        <v>1</v>
      </c>
      <c r="H2" t="str">
        <f>_xlfn.XLOOKUP(G2, DOOR_TYPES!A:A, DOOR_TYPES!B:B, "")</f>
        <v>CR,DC,ES,RX</v>
      </c>
      <c r="I2" t="str" cm="1">
        <f t="array" ref="I2">_xlfn.TEXTJOIN(",",TRUE,_xlfn.XLOOKUP(_xlfn.TEXTSPLIT(H2,","),BLOCK_LIBRARY!A:A,BLOCK_LIBRARY!B:B,"NOT FOUND"))</f>
        <v>AC_Card_Reader,DC_Door_Contact_Recessed,ES_Electric_Strike,RX_Motion_REX</v>
      </c>
    </row>
    <row r="3" spans="1:9" x14ac:dyDescent="0.25">
      <c r="A3">
        <f t="shared" ref="A3:A49" si="0">ROW()-1</f>
        <v>2</v>
      </c>
      <c r="B3" s="2" t="s">
        <v>60</v>
      </c>
      <c r="C3" s="2" t="s">
        <v>11</v>
      </c>
      <c r="D3" s="2" t="s">
        <v>46</v>
      </c>
      <c r="E3" t="str">
        <f>_xlfn.XLOOKUP(D3,PANEL_LIBRARY!A:A,PANEL_LIBRARY!B:B,"NOT FOUND")</f>
        <v>ACP_FULL</v>
      </c>
      <c r="F3" t="s">
        <v>54</v>
      </c>
      <c r="G3" s="2">
        <v>2</v>
      </c>
      <c r="H3" t="str">
        <f>_xlfn.XLOOKUP(G3, DOOR_TYPES!A:A, DOOR_TYPES!B:B, "")</f>
        <v>CR,ES</v>
      </c>
      <c r="I3" t="str" cm="1">
        <f t="array" ref="I3">_xlfn.TEXTJOIN(",",TRUE,_xlfn.XLOOKUP(_xlfn.TEXTSPLIT(H3,","),BLOCK_LIBRARY!A:A,BLOCK_LIBRARY!B:B,"NOT FOUND"))</f>
        <v>AC_Card_Reader,ES_Electric_Strike</v>
      </c>
    </row>
    <row r="4" spans="1:9" x14ac:dyDescent="0.25">
      <c r="A4">
        <f t="shared" si="0"/>
        <v>3</v>
      </c>
      <c r="B4" s="2" t="s">
        <v>61</v>
      </c>
      <c r="C4" s="2" t="s">
        <v>11</v>
      </c>
      <c r="D4" s="2" t="s">
        <v>46</v>
      </c>
      <c r="E4" t="str">
        <f>_xlfn.XLOOKUP(D4,PANEL_LIBRARY!A:A,PANEL_LIBRARY!B:B,"NOT FOUND")</f>
        <v>ACP_FULL</v>
      </c>
      <c r="F4" t="s">
        <v>108</v>
      </c>
      <c r="G4" s="2">
        <v>3</v>
      </c>
      <c r="H4" t="str">
        <f>_xlfn.XLOOKUP(G4, DOOR_TYPES!A:A, DOOR_TYPES!B:B, "")</f>
        <v>DC</v>
      </c>
      <c r="I4" t="str" cm="1">
        <f t="array" ref="I4">_xlfn.TEXTJOIN(",",TRUE,_xlfn.XLOOKUP(_xlfn.TEXTSPLIT(H4,","),BLOCK_LIBRARY!A:A,BLOCK_LIBRARY!B:B,"NOT FOUND"))</f>
        <v>DC_Door_Contact_Recessed</v>
      </c>
    </row>
    <row r="5" spans="1:9" x14ac:dyDescent="0.25">
      <c r="A5">
        <f t="shared" si="0"/>
        <v>4</v>
      </c>
      <c r="B5" s="2" t="s">
        <v>62</v>
      </c>
      <c r="C5" s="2" t="s">
        <v>11</v>
      </c>
      <c r="D5" s="2" t="s">
        <v>46</v>
      </c>
      <c r="E5" t="str">
        <f>_xlfn.XLOOKUP(D5,PANEL_LIBRARY!A:A,PANEL_LIBRARY!B:B,"NOT FOUND")</f>
        <v>ACP_FULL</v>
      </c>
      <c r="F5" t="s">
        <v>54</v>
      </c>
      <c r="G5" s="2">
        <v>4</v>
      </c>
      <c r="H5" t="str">
        <f>_xlfn.XLOOKUP(G5, DOOR_TYPES!A:A, DOOR_TYPES!B:B, "")</f>
        <v>CR,DC</v>
      </c>
      <c r="I5" t="str" cm="1">
        <f t="array" ref="I5">_xlfn.TEXTJOIN(",",TRUE,_xlfn.XLOOKUP(_xlfn.TEXTSPLIT(H5,","),BLOCK_LIBRARY!A:A,BLOCK_LIBRARY!B:B,"NOT FOUND"))</f>
        <v>AC_Card_Reader,DC_Door_Contact_Recessed</v>
      </c>
    </row>
    <row r="6" spans="1:9" x14ac:dyDescent="0.25">
      <c r="A6">
        <f t="shared" si="0"/>
        <v>5</v>
      </c>
      <c r="B6" s="2" t="s">
        <v>63</v>
      </c>
      <c r="C6" s="2" t="s">
        <v>11</v>
      </c>
      <c r="D6" s="2" t="s">
        <v>46</v>
      </c>
      <c r="E6" t="str">
        <f>_xlfn.XLOOKUP(D6,PANEL_LIBRARY!A:A,PANEL_LIBRARY!B:B,"NOT FOUND")</f>
        <v>ACP_FULL</v>
      </c>
      <c r="F6" t="s">
        <v>13</v>
      </c>
      <c r="G6" s="2">
        <v>5</v>
      </c>
      <c r="H6" t="str">
        <f>_xlfn.XLOOKUP(G6, DOOR_TYPES!A:A, DOOR_TYPES!B:B, "")</f>
        <v>CR,CR,DC,ES</v>
      </c>
      <c r="I6" t="str" cm="1">
        <f t="array" ref="I6">_xlfn.TEXTJOIN(",",TRUE,_xlfn.XLOOKUP(_xlfn.TEXTSPLIT(H6,","),BLOCK_LIBRARY!A:A,BLOCK_LIBRARY!B:B,"NOT FOUND"))</f>
        <v>AC_Card_Reader,AC_Card_Reader,DC_Door_Contact_Recessed,ES_Electric_Strike</v>
      </c>
    </row>
    <row r="7" spans="1:9" x14ac:dyDescent="0.25">
      <c r="A7">
        <f t="shared" si="0"/>
        <v>6</v>
      </c>
      <c r="B7" s="2" t="s">
        <v>64</v>
      </c>
      <c r="C7" s="2" t="s">
        <v>11</v>
      </c>
      <c r="D7" s="2" t="s">
        <v>46</v>
      </c>
      <c r="E7" t="str">
        <f>_xlfn.XLOOKUP(D7,PANEL_LIBRARY!A:A,PANEL_LIBRARY!B:B,"NOT FOUND")</f>
        <v>ACP_FULL</v>
      </c>
      <c r="F7" t="s">
        <v>54</v>
      </c>
      <c r="G7" s="2">
        <v>6</v>
      </c>
      <c r="H7" t="str">
        <f>_xlfn.XLOOKUP(G7, DOOR_TYPES!A:A, DOOR_TYPES!B:B, "")</f>
        <v>CR,DC,DC,EP,EP</v>
      </c>
      <c r="I7" t="str" cm="1">
        <f t="array" ref="I7">_xlfn.TEXTJOIN(",",TRUE,_xlfn.XLOOKUP(_xlfn.TEXTSPLIT(H7,","),BLOCK_LIBRARY!A:A,BLOCK_LIBRARY!B:B,"NOT FOUND"))</f>
        <v>AC_Card_Reader,DC_Door_Contact_Recessed,DC_Door_Contact_Recessed,EP_Electric_Panic_Hdwr,EP_Electric_Panic_Hdwr</v>
      </c>
    </row>
    <row r="8" spans="1:9" x14ac:dyDescent="0.25">
      <c r="A8">
        <f t="shared" si="0"/>
        <v>7</v>
      </c>
      <c r="B8" s="2" t="s">
        <v>65</v>
      </c>
      <c r="C8" s="2" t="s">
        <v>11</v>
      </c>
      <c r="D8" s="2" t="s">
        <v>46</v>
      </c>
      <c r="E8" t="str">
        <f>_xlfn.XLOOKUP(D8,PANEL_LIBRARY!A:A,PANEL_LIBRARY!B:B,"NOT FOUND")</f>
        <v>ACP_FULL</v>
      </c>
      <c r="F8" t="s">
        <v>54</v>
      </c>
      <c r="G8" s="2">
        <v>7</v>
      </c>
      <c r="H8" t="str">
        <f>_xlfn.XLOOKUP(G8, DOOR_TYPES!A:A, DOOR_TYPES!B:B, "")</f>
        <v>CR,DC,DC,EP,EP,AO</v>
      </c>
      <c r="I8" t="str" cm="1">
        <f t="array" ref="I8">_xlfn.TEXTJOIN(",",TRUE,_xlfn.XLOOKUP(_xlfn.TEXTSPLIT(H8,","),BLOCK_LIBRARY!A:A,BLOCK_LIBRARY!B:B,"NOT FOUND"))</f>
        <v>AC_Card_Reader,DC_Door_Contact_Recessed,DC_Door_Contact_Recessed,EP_Electric_Panic_Hdwr,EP_Electric_Panic_Hdwr,AO_Auto_Operator</v>
      </c>
    </row>
    <row r="9" spans="1:9" x14ac:dyDescent="0.25">
      <c r="A9">
        <f t="shared" si="0"/>
        <v>8</v>
      </c>
      <c r="B9" s="2" t="s">
        <v>66</v>
      </c>
      <c r="C9" s="2" t="s">
        <v>11</v>
      </c>
      <c r="D9" s="2" t="s">
        <v>46</v>
      </c>
      <c r="E9" t="str">
        <f>_xlfn.XLOOKUP(D9,PANEL_LIBRARY!A:A,PANEL_LIBRARY!B:B,"NOT FOUND")</f>
        <v>ACP_FULL</v>
      </c>
      <c r="F9" t="s">
        <v>108</v>
      </c>
      <c r="G9" s="2">
        <v>8</v>
      </c>
      <c r="H9" t="str">
        <f>_xlfn.XLOOKUP(G9, DOOR_TYPES!A:A, DOOR_TYPES!B:B, "")</f>
        <v>DA</v>
      </c>
      <c r="I9" t="str" cm="1">
        <f t="array" ref="I9">_xlfn.TEXTJOIN(",",TRUE,_xlfn.XLOOKUP(_xlfn.TEXTSPLIT(H9,","),BLOCK_LIBRARY!A:A,BLOCK_LIBRARY!B:B,"NOT FOUND"))</f>
        <v>DA_Duress_Alarm</v>
      </c>
    </row>
    <row r="10" spans="1:9" x14ac:dyDescent="0.25">
      <c r="A10">
        <f t="shared" si="0"/>
        <v>9</v>
      </c>
      <c r="B10" s="2" t="s">
        <v>67</v>
      </c>
      <c r="C10" s="2" t="s">
        <v>11</v>
      </c>
      <c r="D10" s="2" t="s">
        <v>46</v>
      </c>
      <c r="E10" t="str">
        <f>_xlfn.XLOOKUP(D10,PANEL_LIBRARY!A:A,PANEL_LIBRARY!B:B,"NOT FOUND")</f>
        <v>ACP_FULL</v>
      </c>
      <c r="F10" t="s">
        <v>54</v>
      </c>
      <c r="G10" s="2">
        <v>1</v>
      </c>
      <c r="H10" t="str">
        <f>_xlfn.XLOOKUP(G10, DOOR_TYPES!A:A, DOOR_TYPES!B:B, "")</f>
        <v>CR,DC,ES,RX</v>
      </c>
      <c r="I10" t="str" cm="1">
        <f t="array" ref="I10">_xlfn.TEXTJOIN(",",TRUE,_xlfn.XLOOKUP(_xlfn.TEXTSPLIT(H10,","),BLOCK_LIBRARY!A:A,BLOCK_LIBRARY!B:B,"NOT FOUND"))</f>
        <v>AC_Card_Reader,DC_Door_Contact_Recessed,ES_Electric_Strike,RX_Motion_REX</v>
      </c>
    </row>
    <row r="11" spans="1:9" x14ac:dyDescent="0.25">
      <c r="A11">
        <f t="shared" si="0"/>
        <v>10</v>
      </c>
      <c r="B11" s="2" t="s">
        <v>68</v>
      </c>
      <c r="C11" s="2" t="s">
        <v>11</v>
      </c>
      <c r="D11" s="2" t="s">
        <v>46</v>
      </c>
      <c r="E11" t="str">
        <f>_xlfn.XLOOKUP(D11,PANEL_LIBRARY!A:A,PANEL_LIBRARY!B:B,"NOT FOUND")</f>
        <v>ACP_FULL</v>
      </c>
      <c r="F11" t="s">
        <v>54</v>
      </c>
      <c r="G11" s="2">
        <v>2</v>
      </c>
      <c r="H11" t="str">
        <f>_xlfn.XLOOKUP(G11, DOOR_TYPES!A:A, DOOR_TYPES!B:B, "")</f>
        <v>CR,ES</v>
      </c>
      <c r="I11" t="str" cm="1">
        <f t="array" ref="I11">_xlfn.TEXTJOIN(",",TRUE,_xlfn.XLOOKUP(_xlfn.TEXTSPLIT(H11,","),BLOCK_LIBRARY!A:A,BLOCK_LIBRARY!B:B,"NOT FOUND"))</f>
        <v>AC_Card_Reader,ES_Electric_Strike</v>
      </c>
    </row>
    <row r="12" spans="1:9" x14ac:dyDescent="0.25">
      <c r="A12">
        <f t="shared" si="0"/>
        <v>11</v>
      </c>
      <c r="B12" s="2" t="s">
        <v>69</v>
      </c>
      <c r="C12" s="2" t="s">
        <v>11</v>
      </c>
      <c r="D12" s="2" t="s">
        <v>46</v>
      </c>
      <c r="E12" t="str">
        <f>_xlfn.XLOOKUP(D12,PANEL_LIBRARY!A:A,PANEL_LIBRARY!B:B,"NOT FOUND")</f>
        <v>ACP_FULL</v>
      </c>
      <c r="F12" t="s">
        <v>108</v>
      </c>
      <c r="G12" s="2">
        <v>3</v>
      </c>
      <c r="H12" t="str">
        <f>_xlfn.XLOOKUP(G12, DOOR_TYPES!A:A, DOOR_TYPES!B:B, "")</f>
        <v>DC</v>
      </c>
      <c r="I12" t="str" cm="1">
        <f t="array" ref="I12">_xlfn.TEXTJOIN(",",TRUE,_xlfn.XLOOKUP(_xlfn.TEXTSPLIT(H12,","),BLOCK_LIBRARY!A:A,BLOCK_LIBRARY!B:B,"NOT FOUND"))</f>
        <v>DC_Door_Contact_Recessed</v>
      </c>
    </row>
    <row r="13" spans="1:9" x14ac:dyDescent="0.25">
      <c r="A13">
        <f t="shared" si="0"/>
        <v>12</v>
      </c>
      <c r="B13" s="2" t="s">
        <v>70</v>
      </c>
      <c r="C13" s="2" t="s">
        <v>11</v>
      </c>
      <c r="D13" s="2" t="s">
        <v>46</v>
      </c>
      <c r="E13" t="str">
        <f>_xlfn.XLOOKUP(D13,PANEL_LIBRARY!A:A,PANEL_LIBRARY!B:B,"NOT FOUND")</f>
        <v>ACP_FULL</v>
      </c>
      <c r="F13" t="s">
        <v>54</v>
      </c>
      <c r="G13" s="2">
        <v>4</v>
      </c>
      <c r="H13" t="str">
        <f>_xlfn.XLOOKUP(G13, DOOR_TYPES!A:A, DOOR_TYPES!B:B, "")</f>
        <v>CR,DC</v>
      </c>
      <c r="I13" t="str" cm="1">
        <f t="array" ref="I13">_xlfn.TEXTJOIN(",",TRUE,_xlfn.XLOOKUP(_xlfn.TEXTSPLIT(H13,","),BLOCK_LIBRARY!A:A,BLOCK_LIBRARY!B:B,"NOT FOUND"))</f>
        <v>AC_Card_Reader,DC_Door_Contact_Recessed</v>
      </c>
    </row>
    <row r="14" spans="1:9" x14ac:dyDescent="0.25">
      <c r="A14">
        <f t="shared" si="0"/>
        <v>13</v>
      </c>
      <c r="B14" s="2" t="s">
        <v>71</v>
      </c>
      <c r="C14" s="2" t="s">
        <v>11</v>
      </c>
      <c r="D14" s="2" t="s">
        <v>46</v>
      </c>
      <c r="E14" t="str">
        <f>_xlfn.XLOOKUP(D14,PANEL_LIBRARY!A:A,PANEL_LIBRARY!B:B,"NOT FOUND")</f>
        <v>ACP_FULL</v>
      </c>
      <c r="F14" t="s">
        <v>13</v>
      </c>
      <c r="G14" s="2">
        <v>5</v>
      </c>
      <c r="H14" t="str">
        <f>_xlfn.XLOOKUP(G14, DOOR_TYPES!A:A, DOOR_TYPES!B:B, "")</f>
        <v>CR,CR,DC,ES</v>
      </c>
      <c r="I14" t="str" cm="1">
        <f t="array" ref="I14">_xlfn.TEXTJOIN(",",TRUE,_xlfn.XLOOKUP(_xlfn.TEXTSPLIT(H14,","),BLOCK_LIBRARY!A:A,BLOCK_LIBRARY!B:B,"NOT FOUND"))</f>
        <v>AC_Card_Reader,AC_Card_Reader,DC_Door_Contact_Recessed,ES_Electric_Strike</v>
      </c>
    </row>
    <row r="15" spans="1:9" x14ac:dyDescent="0.25">
      <c r="A15">
        <f t="shared" si="0"/>
        <v>14</v>
      </c>
      <c r="B15" s="2" t="s">
        <v>72</v>
      </c>
      <c r="C15" s="2" t="s">
        <v>11</v>
      </c>
      <c r="D15" s="2" t="s">
        <v>46</v>
      </c>
      <c r="E15" t="str">
        <f>_xlfn.XLOOKUP(D15,PANEL_LIBRARY!A:A,PANEL_LIBRARY!B:B,"NOT FOUND")</f>
        <v>ACP_FULL</v>
      </c>
      <c r="F15" t="s">
        <v>54</v>
      </c>
      <c r="G15" s="2">
        <v>6</v>
      </c>
      <c r="H15" t="str">
        <f>_xlfn.XLOOKUP(G15, DOOR_TYPES!A:A, DOOR_TYPES!B:B, "")</f>
        <v>CR,DC,DC,EP,EP</v>
      </c>
      <c r="I15" t="str" cm="1">
        <f t="array" ref="I15">_xlfn.TEXTJOIN(",",TRUE,_xlfn.XLOOKUP(_xlfn.TEXTSPLIT(H15,","),BLOCK_LIBRARY!A:A,BLOCK_LIBRARY!B:B,"NOT FOUND"))</f>
        <v>AC_Card_Reader,DC_Door_Contact_Recessed,DC_Door_Contact_Recessed,EP_Electric_Panic_Hdwr,EP_Electric_Panic_Hdwr</v>
      </c>
    </row>
    <row r="16" spans="1:9" x14ac:dyDescent="0.25">
      <c r="A16">
        <f t="shared" si="0"/>
        <v>15</v>
      </c>
      <c r="B16" s="2" t="s">
        <v>73</v>
      </c>
      <c r="C16" s="2" t="s">
        <v>11</v>
      </c>
      <c r="D16" s="2" t="s">
        <v>46</v>
      </c>
      <c r="E16" t="str">
        <f>_xlfn.XLOOKUP(D16,PANEL_LIBRARY!A:A,PANEL_LIBRARY!B:B,"NOT FOUND")</f>
        <v>ACP_FULL</v>
      </c>
      <c r="F16" t="s">
        <v>54</v>
      </c>
      <c r="G16" s="2">
        <v>7</v>
      </c>
      <c r="H16" t="str">
        <f>_xlfn.XLOOKUP(G16, DOOR_TYPES!A:A, DOOR_TYPES!B:B, "")</f>
        <v>CR,DC,DC,EP,EP,AO</v>
      </c>
      <c r="I16" t="str" cm="1">
        <f t="array" ref="I16">_xlfn.TEXTJOIN(",",TRUE,_xlfn.XLOOKUP(_xlfn.TEXTSPLIT(H16,","),BLOCK_LIBRARY!A:A,BLOCK_LIBRARY!B:B,"NOT FOUND"))</f>
        <v>AC_Card_Reader,DC_Door_Contact_Recessed,DC_Door_Contact_Recessed,EP_Electric_Panic_Hdwr,EP_Electric_Panic_Hdwr,AO_Auto_Operator</v>
      </c>
    </row>
    <row r="17" spans="1:9" x14ac:dyDescent="0.25">
      <c r="A17">
        <f t="shared" si="0"/>
        <v>16</v>
      </c>
      <c r="B17" s="2" t="s">
        <v>74</v>
      </c>
      <c r="C17" s="2" t="s">
        <v>11</v>
      </c>
      <c r="D17" s="2" t="s">
        <v>46</v>
      </c>
      <c r="E17" t="str">
        <f>_xlfn.XLOOKUP(D17,PANEL_LIBRARY!A:A,PANEL_LIBRARY!B:B,"NOT FOUND")</f>
        <v>ACP_FULL</v>
      </c>
      <c r="F17" t="s">
        <v>108</v>
      </c>
      <c r="G17" s="2">
        <v>8</v>
      </c>
      <c r="H17" t="str">
        <f>_xlfn.XLOOKUP(G17, DOOR_TYPES!A:A, DOOR_TYPES!B:B, "")</f>
        <v>DA</v>
      </c>
      <c r="I17" t="str" cm="1">
        <f t="array" ref="I17">_xlfn.TEXTJOIN(",",TRUE,_xlfn.XLOOKUP(_xlfn.TEXTSPLIT(H17,","),BLOCK_LIBRARY!A:A,BLOCK_LIBRARY!B:B,"NOT FOUND"))</f>
        <v>DA_Duress_Alarm</v>
      </c>
    </row>
    <row r="18" spans="1:9" x14ac:dyDescent="0.25">
      <c r="A18">
        <f t="shared" si="0"/>
        <v>17</v>
      </c>
      <c r="B18" s="2" t="s">
        <v>75</v>
      </c>
      <c r="C18" s="2" t="s">
        <v>12</v>
      </c>
      <c r="D18" s="2" t="s">
        <v>46</v>
      </c>
      <c r="E18" t="str">
        <f>_xlfn.XLOOKUP(D18,PANEL_LIBRARY!A:A,PANEL_LIBRARY!B:B,"NOT FOUND")</f>
        <v>ACP_FULL</v>
      </c>
      <c r="F18" t="s">
        <v>54</v>
      </c>
      <c r="G18" s="2">
        <v>1</v>
      </c>
      <c r="H18" t="str">
        <f>_xlfn.XLOOKUP(G18, DOOR_TYPES!A:A, DOOR_TYPES!B:B, "")</f>
        <v>CR,DC,ES,RX</v>
      </c>
      <c r="I18" t="str" cm="1">
        <f t="array" ref="I18">_xlfn.TEXTJOIN(",",TRUE,_xlfn.XLOOKUP(_xlfn.TEXTSPLIT(H18,","),BLOCK_LIBRARY!A:A,BLOCK_LIBRARY!B:B,"NOT FOUND"))</f>
        <v>AC_Card_Reader,DC_Door_Contact_Recessed,ES_Electric_Strike,RX_Motion_REX</v>
      </c>
    </row>
    <row r="19" spans="1:9" x14ac:dyDescent="0.25">
      <c r="A19">
        <f t="shared" si="0"/>
        <v>18</v>
      </c>
      <c r="B19" s="2" t="s">
        <v>76</v>
      </c>
      <c r="C19" s="2" t="s">
        <v>12</v>
      </c>
      <c r="D19" s="2" t="s">
        <v>46</v>
      </c>
      <c r="E19" t="str">
        <f>_xlfn.XLOOKUP(D19,PANEL_LIBRARY!A:A,PANEL_LIBRARY!B:B,"NOT FOUND")</f>
        <v>ACP_FULL</v>
      </c>
      <c r="F19" t="s">
        <v>54</v>
      </c>
      <c r="G19" s="2">
        <v>2</v>
      </c>
      <c r="H19" t="str">
        <f>_xlfn.XLOOKUP(G19, DOOR_TYPES!A:A, DOOR_TYPES!B:B, "")</f>
        <v>CR,ES</v>
      </c>
      <c r="I19" t="str" cm="1">
        <f t="array" ref="I19">_xlfn.TEXTJOIN(",",TRUE,_xlfn.XLOOKUP(_xlfn.TEXTSPLIT(H19,","),BLOCK_LIBRARY!A:A,BLOCK_LIBRARY!B:B,"NOT FOUND"))</f>
        <v>AC_Card_Reader,ES_Electric_Strike</v>
      </c>
    </row>
    <row r="20" spans="1:9" x14ac:dyDescent="0.25">
      <c r="A20">
        <f t="shared" si="0"/>
        <v>19</v>
      </c>
      <c r="B20" s="2" t="s">
        <v>77</v>
      </c>
      <c r="C20" s="2" t="s">
        <v>12</v>
      </c>
      <c r="D20" s="2" t="s">
        <v>46</v>
      </c>
      <c r="E20" t="str">
        <f>_xlfn.XLOOKUP(D20,PANEL_LIBRARY!A:A,PANEL_LIBRARY!B:B,"NOT FOUND")</f>
        <v>ACP_FULL</v>
      </c>
      <c r="F20" t="s">
        <v>108</v>
      </c>
      <c r="G20" s="2">
        <v>3</v>
      </c>
      <c r="H20" t="str">
        <f>_xlfn.XLOOKUP(G20, DOOR_TYPES!A:A, DOOR_TYPES!B:B, "")</f>
        <v>DC</v>
      </c>
      <c r="I20" t="str" cm="1">
        <f t="array" ref="I20">_xlfn.TEXTJOIN(",",TRUE,_xlfn.XLOOKUP(_xlfn.TEXTSPLIT(H20,","),BLOCK_LIBRARY!A:A,BLOCK_LIBRARY!B:B,"NOT FOUND"))</f>
        <v>DC_Door_Contact_Recessed</v>
      </c>
    </row>
    <row r="21" spans="1:9" x14ac:dyDescent="0.25">
      <c r="A21">
        <f t="shared" si="0"/>
        <v>20</v>
      </c>
      <c r="B21" s="2" t="s">
        <v>78</v>
      </c>
      <c r="C21" s="2" t="s">
        <v>12</v>
      </c>
      <c r="D21" s="2" t="s">
        <v>46</v>
      </c>
      <c r="E21" t="str">
        <f>_xlfn.XLOOKUP(D21,PANEL_LIBRARY!A:A,PANEL_LIBRARY!B:B,"NOT FOUND")</f>
        <v>ACP_FULL</v>
      </c>
      <c r="F21" t="s">
        <v>54</v>
      </c>
      <c r="G21" s="2">
        <v>4</v>
      </c>
      <c r="H21" t="str">
        <f>_xlfn.XLOOKUP(G21, DOOR_TYPES!A:A, DOOR_TYPES!B:B, "")</f>
        <v>CR,DC</v>
      </c>
      <c r="I21" t="str" cm="1">
        <f t="array" ref="I21">_xlfn.TEXTJOIN(",",TRUE,_xlfn.XLOOKUP(_xlfn.TEXTSPLIT(H21,","),BLOCK_LIBRARY!A:A,BLOCK_LIBRARY!B:B,"NOT FOUND"))</f>
        <v>AC_Card_Reader,DC_Door_Contact_Recessed</v>
      </c>
    </row>
    <row r="22" spans="1:9" x14ac:dyDescent="0.25">
      <c r="A22">
        <f t="shared" si="0"/>
        <v>21</v>
      </c>
      <c r="B22" s="2" t="s">
        <v>79</v>
      </c>
      <c r="C22" s="2" t="s">
        <v>12</v>
      </c>
      <c r="D22" s="2" t="s">
        <v>46</v>
      </c>
      <c r="E22" t="str">
        <f>_xlfn.XLOOKUP(D22,PANEL_LIBRARY!A:A,PANEL_LIBRARY!B:B,"NOT FOUND")</f>
        <v>ACP_FULL</v>
      </c>
      <c r="F22" t="s">
        <v>13</v>
      </c>
      <c r="G22" s="2">
        <v>5</v>
      </c>
      <c r="H22" t="str">
        <f>_xlfn.XLOOKUP(G22, DOOR_TYPES!A:A, DOOR_TYPES!B:B, "")</f>
        <v>CR,CR,DC,ES</v>
      </c>
      <c r="I22" t="str" cm="1">
        <f t="array" ref="I22">_xlfn.TEXTJOIN(",",TRUE,_xlfn.XLOOKUP(_xlfn.TEXTSPLIT(H22,","),BLOCK_LIBRARY!A:A,BLOCK_LIBRARY!B:B,"NOT FOUND"))</f>
        <v>AC_Card_Reader,AC_Card_Reader,DC_Door_Contact_Recessed,ES_Electric_Strike</v>
      </c>
    </row>
    <row r="23" spans="1:9" x14ac:dyDescent="0.25">
      <c r="A23">
        <f t="shared" si="0"/>
        <v>22</v>
      </c>
      <c r="B23" s="2" t="s">
        <v>80</v>
      </c>
      <c r="C23" s="2" t="s">
        <v>12</v>
      </c>
      <c r="D23" s="2" t="s">
        <v>46</v>
      </c>
      <c r="E23" t="str">
        <f>_xlfn.XLOOKUP(D23,PANEL_LIBRARY!A:A,PANEL_LIBRARY!B:B,"NOT FOUND")</f>
        <v>ACP_FULL</v>
      </c>
      <c r="F23" t="s">
        <v>54</v>
      </c>
      <c r="G23" s="2">
        <v>6</v>
      </c>
      <c r="H23" t="str">
        <f>_xlfn.XLOOKUP(G23, DOOR_TYPES!A:A, DOOR_TYPES!B:B, "")</f>
        <v>CR,DC,DC,EP,EP</v>
      </c>
      <c r="I23" t="str" cm="1">
        <f t="array" ref="I23">_xlfn.TEXTJOIN(",",TRUE,_xlfn.XLOOKUP(_xlfn.TEXTSPLIT(H23,","),BLOCK_LIBRARY!A:A,BLOCK_LIBRARY!B:B,"NOT FOUND"))</f>
        <v>AC_Card_Reader,DC_Door_Contact_Recessed,DC_Door_Contact_Recessed,EP_Electric_Panic_Hdwr,EP_Electric_Panic_Hdwr</v>
      </c>
    </row>
    <row r="24" spans="1:9" x14ac:dyDescent="0.25">
      <c r="A24">
        <f t="shared" si="0"/>
        <v>23</v>
      </c>
      <c r="B24" s="2" t="s">
        <v>81</v>
      </c>
      <c r="C24" s="2" t="s">
        <v>12</v>
      </c>
      <c r="D24" s="2" t="s">
        <v>46</v>
      </c>
      <c r="E24" t="str">
        <f>_xlfn.XLOOKUP(D24,PANEL_LIBRARY!A:A,PANEL_LIBRARY!B:B,"NOT FOUND")</f>
        <v>ACP_FULL</v>
      </c>
      <c r="F24" t="s">
        <v>54</v>
      </c>
      <c r="G24" s="2">
        <v>7</v>
      </c>
      <c r="H24" t="str">
        <f>_xlfn.XLOOKUP(G24, DOOR_TYPES!A:A, DOOR_TYPES!B:B, "")</f>
        <v>CR,DC,DC,EP,EP,AO</v>
      </c>
      <c r="I24" t="str" cm="1">
        <f t="array" ref="I24">_xlfn.TEXTJOIN(",",TRUE,_xlfn.XLOOKUP(_xlfn.TEXTSPLIT(H24,","),BLOCK_LIBRARY!A:A,BLOCK_LIBRARY!B:B,"NOT FOUND"))</f>
        <v>AC_Card_Reader,DC_Door_Contact_Recessed,DC_Door_Contact_Recessed,EP_Electric_Panic_Hdwr,EP_Electric_Panic_Hdwr,AO_Auto_Operator</v>
      </c>
    </row>
    <row r="25" spans="1:9" x14ac:dyDescent="0.25">
      <c r="A25">
        <f t="shared" si="0"/>
        <v>24</v>
      </c>
      <c r="B25" s="2" t="s">
        <v>82</v>
      </c>
      <c r="C25" s="2" t="s">
        <v>12</v>
      </c>
      <c r="D25" s="2" t="s">
        <v>46</v>
      </c>
      <c r="E25" t="str">
        <f>_xlfn.XLOOKUP(D25,PANEL_LIBRARY!A:A,PANEL_LIBRARY!B:B,"NOT FOUND")</f>
        <v>ACP_FULL</v>
      </c>
      <c r="F25" t="s">
        <v>108</v>
      </c>
      <c r="G25" s="2">
        <v>8</v>
      </c>
      <c r="H25" t="str">
        <f>_xlfn.XLOOKUP(G25, DOOR_TYPES!A:A, DOOR_TYPES!B:B, "")</f>
        <v>DA</v>
      </c>
      <c r="I25" t="str" cm="1">
        <f t="array" ref="I25">_xlfn.TEXTJOIN(",",TRUE,_xlfn.XLOOKUP(_xlfn.TEXTSPLIT(H25,","),BLOCK_LIBRARY!A:A,BLOCK_LIBRARY!B:B,"NOT FOUND"))</f>
        <v>DA_Duress_Alarm</v>
      </c>
    </row>
    <row r="26" spans="1:9" x14ac:dyDescent="0.25">
      <c r="A26">
        <f t="shared" si="0"/>
        <v>25</v>
      </c>
      <c r="B26" s="2" t="s">
        <v>83</v>
      </c>
      <c r="C26" s="2" t="s">
        <v>12</v>
      </c>
      <c r="D26" s="2" t="s">
        <v>46</v>
      </c>
      <c r="E26" t="str">
        <f>_xlfn.XLOOKUP(D26,PANEL_LIBRARY!A:A,PANEL_LIBRARY!B:B,"NOT FOUND")</f>
        <v>ACP_FULL</v>
      </c>
      <c r="F26" t="s">
        <v>54</v>
      </c>
      <c r="G26" s="2">
        <v>1</v>
      </c>
      <c r="H26" t="str">
        <f>_xlfn.XLOOKUP(G26, DOOR_TYPES!A:A, DOOR_TYPES!B:B, "")</f>
        <v>CR,DC,ES,RX</v>
      </c>
      <c r="I26" t="str" cm="1">
        <f t="array" ref="I26">_xlfn.TEXTJOIN(",",TRUE,_xlfn.XLOOKUP(_xlfn.TEXTSPLIT(H26,","),BLOCK_LIBRARY!A:A,BLOCK_LIBRARY!B:B,"NOT FOUND"))</f>
        <v>AC_Card_Reader,DC_Door_Contact_Recessed,ES_Electric_Strike,RX_Motion_REX</v>
      </c>
    </row>
    <row r="27" spans="1:9" x14ac:dyDescent="0.25">
      <c r="A27">
        <f t="shared" si="0"/>
        <v>26</v>
      </c>
      <c r="B27" s="2" t="s">
        <v>84</v>
      </c>
      <c r="C27" s="2" t="s">
        <v>12</v>
      </c>
      <c r="D27" s="2" t="s">
        <v>46</v>
      </c>
      <c r="E27" t="str">
        <f>_xlfn.XLOOKUP(D27,PANEL_LIBRARY!A:A,PANEL_LIBRARY!B:B,"NOT FOUND")</f>
        <v>ACP_FULL</v>
      </c>
      <c r="F27" t="s">
        <v>54</v>
      </c>
      <c r="G27" s="2">
        <v>2</v>
      </c>
      <c r="H27" t="str">
        <f>_xlfn.XLOOKUP(G27, DOOR_TYPES!A:A, DOOR_TYPES!B:B, "")</f>
        <v>CR,ES</v>
      </c>
      <c r="I27" t="str" cm="1">
        <f t="array" ref="I27">_xlfn.TEXTJOIN(",",TRUE,_xlfn.XLOOKUP(_xlfn.TEXTSPLIT(H27,","),BLOCK_LIBRARY!A:A,BLOCK_LIBRARY!B:B,"NOT FOUND"))</f>
        <v>AC_Card_Reader,ES_Electric_Strike</v>
      </c>
    </row>
    <row r="28" spans="1:9" x14ac:dyDescent="0.25">
      <c r="A28">
        <f t="shared" si="0"/>
        <v>27</v>
      </c>
      <c r="B28" s="2" t="s">
        <v>85</v>
      </c>
      <c r="C28" s="2" t="s">
        <v>12</v>
      </c>
      <c r="D28" s="2" t="s">
        <v>46</v>
      </c>
      <c r="E28" t="str">
        <f>_xlfn.XLOOKUP(D28,PANEL_LIBRARY!A:A,PANEL_LIBRARY!B:B,"NOT FOUND")</f>
        <v>ACP_FULL</v>
      </c>
      <c r="F28" t="s">
        <v>108</v>
      </c>
      <c r="G28" s="2">
        <v>3</v>
      </c>
      <c r="H28" t="str">
        <f>_xlfn.XLOOKUP(G28, DOOR_TYPES!A:A, DOOR_TYPES!B:B, "")</f>
        <v>DC</v>
      </c>
      <c r="I28" t="str" cm="1">
        <f t="array" ref="I28">_xlfn.TEXTJOIN(",",TRUE,_xlfn.XLOOKUP(_xlfn.TEXTSPLIT(H28,","),BLOCK_LIBRARY!A:A,BLOCK_LIBRARY!B:B,"NOT FOUND"))</f>
        <v>DC_Door_Contact_Recessed</v>
      </c>
    </row>
    <row r="29" spans="1:9" x14ac:dyDescent="0.25">
      <c r="A29">
        <f t="shared" si="0"/>
        <v>28</v>
      </c>
      <c r="B29" s="2" t="s">
        <v>86</v>
      </c>
      <c r="C29" s="2" t="s">
        <v>12</v>
      </c>
      <c r="D29" s="2" t="s">
        <v>46</v>
      </c>
      <c r="E29" t="str">
        <f>_xlfn.XLOOKUP(D29,PANEL_LIBRARY!A:A,PANEL_LIBRARY!B:B,"NOT FOUND")</f>
        <v>ACP_FULL</v>
      </c>
      <c r="F29" t="s">
        <v>54</v>
      </c>
      <c r="G29" s="2">
        <v>4</v>
      </c>
      <c r="H29" t="str">
        <f>_xlfn.XLOOKUP(G29, DOOR_TYPES!A:A, DOOR_TYPES!B:B, "")</f>
        <v>CR,DC</v>
      </c>
      <c r="I29" t="str" cm="1">
        <f t="array" ref="I29">_xlfn.TEXTJOIN(",",TRUE,_xlfn.XLOOKUP(_xlfn.TEXTSPLIT(H29,","),BLOCK_LIBRARY!A:A,BLOCK_LIBRARY!B:B,"NOT FOUND"))</f>
        <v>AC_Card_Reader,DC_Door_Contact_Recessed</v>
      </c>
    </row>
    <row r="30" spans="1:9" x14ac:dyDescent="0.25">
      <c r="A30">
        <f t="shared" si="0"/>
        <v>29</v>
      </c>
      <c r="B30" s="2" t="s">
        <v>87</v>
      </c>
      <c r="C30" s="2" t="s">
        <v>12</v>
      </c>
      <c r="D30" s="2" t="s">
        <v>46</v>
      </c>
      <c r="E30" t="str">
        <f>_xlfn.XLOOKUP(D30,PANEL_LIBRARY!A:A,PANEL_LIBRARY!B:B,"NOT FOUND")</f>
        <v>ACP_FULL</v>
      </c>
      <c r="F30" t="s">
        <v>13</v>
      </c>
      <c r="G30" s="2">
        <v>5</v>
      </c>
      <c r="H30" t="str">
        <f>_xlfn.XLOOKUP(G30, DOOR_TYPES!A:A, DOOR_TYPES!B:B, "")</f>
        <v>CR,CR,DC,ES</v>
      </c>
      <c r="I30" t="str" cm="1">
        <f t="array" ref="I30">_xlfn.TEXTJOIN(",",TRUE,_xlfn.XLOOKUP(_xlfn.TEXTSPLIT(H30,","),BLOCK_LIBRARY!A:A,BLOCK_LIBRARY!B:B,"NOT FOUND"))</f>
        <v>AC_Card_Reader,AC_Card_Reader,DC_Door_Contact_Recessed,ES_Electric_Strike</v>
      </c>
    </row>
    <row r="31" spans="1:9" x14ac:dyDescent="0.25">
      <c r="A31">
        <f t="shared" si="0"/>
        <v>30</v>
      </c>
      <c r="B31" s="2" t="s">
        <v>88</v>
      </c>
      <c r="C31" s="2" t="s">
        <v>12</v>
      </c>
      <c r="D31" s="2" t="s">
        <v>46</v>
      </c>
      <c r="E31" t="str">
        <f>_xlfn.XLOOKUP(D31,PANEL_LIBRARY!A:A,PANEL_LIBRARY!B:B,"NOT FOUND")</f>
        <v>ACP_FULL</v>
      </c>
      <c r="F31" t="s">
        <v>54</v>
      </c>
      <c r="G31" s="2">
        <v>6</v>
      </c>
      <c r="H31" t="str">
        <f>_xlfn.XLOOKUP(G31, DOOR_TYPES!A:A, DOOR_TYPES!B:B, "")</f>
        <v>CR,DC,DC,EP,EP</v>
      </c>
      <c r="I31" t="str" cm="1">
        <f t="array" ref="I31">_xlfn.TEXTJOIN(",",TRUE,_xlfn.XLOOKUP(_xlfn.TEXTSPLIT(H31,","),BLOCK_LIBRARY!A:A,BLOCK_LIBRARY!B:B,"NOT FOUND"))</f>
        <v>AC_Card_Reader,DC_Door_Contact_Recessed,DC_Door_Contact_Recessed,EP_Electric_Panic_Hdwr,EP_Electric_Panic_Hdwr</v>
      </c>
    </row>
    <row r="32" spans="1:9" x14ac:dyDescent="0.25">
      <c r="A32">
        <f t="shared" si="0"/>
        <v>31</v>
      </c>
      <c r="B32" s="2" t="s">
        <v>89</v>
      </c>
      <c r="C32" s="2" t="s">
        <v>12</v>
      </c>
      <c r="D32" s="2" t="s">
        <v>46</v>
      </c>
      <c r="E32" t="str">
        <f>_xlfn.XLOOKUP(D32,PANEL_LIBRARY!A:A,PANEL_LIBRARY!B:B,"NOT FOUND")</f>
        <v>ACP_FULL</v>
      </c>
      <c r="F32" t="s">
        <v>54</v>
      </c>
      <c r="G32" s="2">
        <v>7</v>
      </c>
      <c r="H32" t="str">
        <f>_xlfn.XLOOKUP(G32, DOOR_TYPES!A:A, DOOR_TYPES!B:B, "")</f>
        <v>CR,DC,DC,EP,EP,AO</v>
      </c>
      <c r="I32" t="str" cm="1">
        <f t="array" ref="I32">_xlfn.TEXTJOIN(",",TRUE,_xlfn.XLOOKUP(_xlfn.TEXTSPLIT(H32,","),BLOCK_LIBRARY!A:A,BLOCK_LIBRARY!B:B,"NOT FOUND"))</f>
        <v>AC_Card_Reader,DC_Door_Contact_Recessed,DC_Door_Contact_Recessed,EP_Electric_Panic_Hdwr,EP_Electric_Panic_Hdwr,AO_Auto_Operator</v>
      </c>
    </row>
    <row r="33" spans="1:9" x14ac:dyDescent="0.25">
      <c r="A33">
        <f t="shared" si="0"/>
        <v>32</v>
      </c>
      <c r="B33" s="2" t="s">
        <v>90</v>
      </c>
      <c r="C33" s="2" t="s">
        <v>12</v>
      </c>
      <c r="D33" s="2" t="s">
        <v>46</v>
      </c>
      <c r="E33" t="str">
        <f>_xlfn.XLOOKUP(D33,PANEL_LIBRARY!A:A,PANEL_LIBRARY!B:B,"NOT FOUND")</f>
        <v>ACP_FULL</v>
      </c>
      <c r="F33" t="s">
        <v>108</v>
      </c>
      <c r="G33" s="2">
        <v>8</v>
      </c>
      <c r="H33" t="str">
        <f>_xlfn.XLOOKUP(G33, DOOR_TYPES!A:A, DOOR_TYPES!B:B, "")</f>
        <v>DA</v>
      </c>
      <c r="I33" t="str" cm="1">
        <f t="array" ref="I33">_xlfn.TEXTJOIN(",",TRUE,_xlfn.XLOOKUP(_xlfn.TEXTSPLIT(H33,","),BLOCK_LIBRARY!A:A,BLOCK_LIBRARY!B:B,"NOT FOUND"))</f>
        <v>DA_Duress_Alarm</v>
      </c>
    </row>
    <row r="34" spans="1:9" x14ac:dyDescent="0.25">
      <c r="A34">
        <f t="shared" si="0"/>
        <v>33</v>
      </c>
      <c r="B34" s="2" t="s">
        <v>91</v>
      </c>
      <c r="C34" s="2" t="s">
        <v>92</v>
      </c>
      <c r="D34" s="2" t="s">
        <v>47</v>
      </c>
      <c r="E34" t="str">
        <f>_xlfn.XLOOKUP(D34,PANEL_LIBRARY!A:A,PANEL_LIBRARY!B:B,"NOT FOUND")</f>
        <v>ACP_FULL_W_Power_Supply</v>
      </c>
      <c r="F34" t="s">
        <v>54</v>
      </c>
      <c r="G34" s="2">
        <v>1</v>
      </c>
      <c r="H34" t="str">
        <f>_xlfn.XLOOKUP(G34, DOOR_TYPES!A:A, DOOR_TYPES!B:B, "")</f>
        <v>CR,DC,ES,RX</v>
      </c>
      <c r="I34" t="str" cm="1">
        <f t="array" ref="I34">_xlfn.TEXTJOIN(",",TRUE,_xlfn.XLOOKUP(_xlfn.TEXTSPLIT(H34,","),BLOCK_LIBRARY!A:A,BLOCK_LIBRARY!B:B,"NOT FOUND"))</f>
        <v>AC_Card_Reader,DC_Door_Contact_Recessed,ES_Electric_Strike,RX_Motion_REX</v>
      </c>
    </row>
    <row r="35" spans="1:9" x14ac:dyDescent="0.25">
      <c r="A35">
        <f t="shared" si="0"/>
        <v>34</v>
      </c>
      <c r="B35" s="2" t="s">
        <v>93</v>
      </c>
      <c r="C35" s="2" t="s">
        <v>92</v>
      </c>
      <c r="D35" s="2" t="s">
        <v>47</v>
      </c>
      <c r="E35" t="str">
        <f>_xlfn.XLOOKUP(D35,PANEL_LIBRARY!A:A,PANEL_LIBRARY!B:B,"NOT FOUND")</f>
        <v>ACP_FULL_W_Power_Supply</v>
      </c>
      <c r="F35" t="s">
        <v>54</v>
      </c>
      <c r="G35" s="2">
        <v>2</v>
      </c>
      <c r="H35" t="str">
        <f>_xlfn.XLOOKUP(G35, DOOR_TYPES!A:A, DOOR_TYPES!B:B, "")</f>
        <v>CR,ES</v>
      </c>
      <c r="I35" t="str" cm="1">
        <f t="array" ref="I35">_xlfn.TEXTJOIN(",",TRUE,_xlfn.XLOOKUP(_xlfn.TEXTSPLIT(H35,","),BLOCK_LIBRARY!A:A,BLOCK_LIBRARY!B:B,"NOT FOUND"))</f>
        <v>AC_Card_Reader,ES_Electric_Strike</v>
      </c>
    </row>
    <row r="36" spans="1:9" x14ac:dyDescent="0.25">
      <c r="A36">
        <f t="shared" si="0"/>
        <v>35</v>
      </c>
      <c r="B36" s="2" t="s">
        <v>94</v>
      </c>
      <c r="C36" s="2" t="s">
        <v>92</v>
      </c>
      <c r="D36" s="2" t="s">
        <v>47</v>
      </c>
      <c r="E36" t="str">
        <f>_xlfn.XLOOKUP(D36,PANEL_LIBRARY!A:A,PANEL_LIBRARY!B:B,"NOT FOUND")</f>
        <v>ACP_FULL_W_Power_Supply</v>
      </c>
      <c r="F36" t="s">
        <v>108</v>
      </c>
      <c r="G36" s="2">
        <v>3</v>
      </c>
      <c r="H36" t="str">
        <f>_xlfn.XLOOKUP(G36, DOOR_TYPES!A:A, DOOR_TYPES!B:B, "")</f>
        <v>DC</v>
      </c>
      <c r="I36" t="str" cm="1">
        <f t="array" ref="I36">_xlfn.TEXTJOIN(",",TRUE,_xlfn.XLOOKUP(_xlfn.TEXTSPLIT(H36,","),BLOCK_LIBRARY!A:A,BLOCK_LIBRARY!B:B,"NOT FOUND"))</f>
        <v>DC_Door_Contact_Recessed</v>
      </c>
    </row>
    <row r="37" spans="1:9" x14ac:dyDescent="0.25">
      <c r="A37">
        <f t="shared" si="0"/>
        <v>36</v>
      </c>
      <c r="B37" s="2" t="s">
        <v>95</v>
      </c>
      <c r="C37" s="2" t="s">
        <v>92</v>
      </c>
      <c r="D37" s="2" t="s">
        <v>47</v>
      </c>
      <c r="E37" t="str">
        <f>_xlfn.XLOOKUP(D37,PANEL_LIBRARY!A:A,PANEL_LIBRARY!B:B,"NOT FOUND")</f>
        <v>ACP_FULL_W_Power_Supply</v>
      </c>
      <c r="F37" t="s">
        <v>54</v>
      </c>
      <c r="G37" s="2">
        <v>4</v>
      </c>
      <c r="H37" t="str">
        <f>_xlfn.XLOOKUP(G37, DOOR_TYPES!A:A, DOOR_TYPES!B:B, "")</f>
        <v>CR,DC</v>
      </c>
      <c r="I37" t="str" cm="1">
        <f t="array" ref="I37">_xlfn.TEXTJOIN(",",TRUE,_xlfn.XLOOKUP(_xlfn.TEXTSPLIT(H37,","),BLOCK_LIBRARY!A:A,BLOCK_LIBRARY!B:B,"NOT FOUND"))</f>
        <v>AC_Card_Reader,DC_Door_Contact_Recessed</v>
      </c>
    </row>
    <row r="38" spans="1:9" x14ac:dyDescent="0.25">
      <c r="A38">
        <f t="shared" si="0"/>
        <v>37</v>
      </c>
      <c r="B38" s="2" t="s">
        <v>96</v>
      </c>
      <c r="C38" s="2" t="s">
        <v>92</v>
      </c>
      <c r="D38" s="2" t="s">
        <v>47</v>
      </c>
      <c r="E38" t="str">
        <f>_xlfn.XLOOKUP(D38,PANEL_LIBRARY!A:A,PANEL_LIBRARY!B:B,"NOT FOUND")</f>
        <v>ACP_FULL_W_Power_Supply</v>
      </c>
      <c r="F38" t="s">
        <v>13</v>
      </c>
      <c r="G38" s="2">
        <v>5</v>
      </c>
      <c r="H38" t="str">
        <f>_xlfn.XLOOKUP(G38, DOOR_TYPES!A:A, DOOR_TYPES!B:B, "")</f>
        <v>CR,CR,DC,ES</v>
      </c>
      <c r="I38" t="str" cm="1">
        <f t="array" ref="I38">_xlfn.TEXTJOIN(",",TRUE,_xlfn.XLOOKUP(_xlfn.TEXTSPLIT(H38,","),BLOCK_LIBRARY!A:A,BLOCK_LIBRARY!B:B,"NOT FOUND"))</f>
        <v>AC_Card_Reader,AC_Card_Reader,DC_Door_Contact_Recessed,ES_Electric_Strike</v>
      </c>
    </row>
    <row r="39" spans="1:9" x14ac:dyDescent="0.25">
      <c r="A39">
        <f t="shared" si="0"/>
        <v>38</v>
      </c>
      <c r="B39" s="2" t="s">
        <v>97</v>
      </c>
      <c r="C39" s="2" t="s">
        <v>92</v>
      </c>
      <c r="D39" s="2" t="s">
        <v>47</v>
      </c>
      <c r="E39" t="str">
        <f>_xlfn.XLOOKUP(D39,PANEL_LIBRARY!A:A,PANEL_LIBRARY!B:B,"NOT FOUND")</f>
        <v>ACP_FULL_W_Power_Supply</v>
      </c>
      <c r="F39" t="s">
        <v>54</v>
      </c>
      <c r="G39" s="2">
        <v>6</v>
      </c>
      <c r="H39" t="str">
        <f>_xlfn.XLOOKUP(G39, DOOR_TYPES!A:A, DOOR_TYPES!B:B, "")</f>
        <v>CR,DC,DC,EP,EP</v>
      </c>
      <c r="I39" t="str" cm="1">
        <f t="array" ref="I39">_xlfn.TEXTJOIN(",",TRUE,_xlfn.XLOOKUP(_xlfn.TEXTSPLIT(H39,","),BLOCK_LIBRARY!A:A,BLOCK_LIBRARY!B:B,"NOT FOUND"))</f>
        <v>AC_Card_Reader,DC_Door_Contact_Recessed,DC_Door_Contact_Recessed,EP_Electric_Panic_Hdwr,EP_Electric_Panic_Hdwr</v>
      </c>
    </row>
    <row r="40" spans="1:9" x14ac:dyDescent="0.25">
      <c r="A40">
        <f t="shared" si="0"/>
        <v>39</v>
      </c>
      <c r="B40" s="2" t="s">
        <v>98</v>
      </c>
      <c r="C40" s="2" t="s">
        <v>92</v>
      </c>
      <c r="D40" s="2" t="s">
        <v>47</v>
      </c>
      <c r="E40" t="str">
        <f>_xlfn.XLOOKUP(D40,PANEL_LIBRARY!A:A,PANEL_LIBRARY!B:B,"NOT FOUND")</f>
        <v>ACP_FULL_W_Power_Supply</v>
      </c>
      <c r="F40" t="s">
        <v>54</v>
      </c>
      <c r="G40" s="2">
        <v>7</v>
      </c>
      <c r="H40" t="str">
        <f>_xlfn.XLOOKUP(G40, DOOR_TYPES!A:A, DOOR_TYPES!B:B, "")</f>
        <v>CR,DC,DC,EP,EP,AO</v>
      </c>
      <c r="I40" t="str" cm="1">
        <f t="array" ref="I40">_xlfn.TEXTJOIN(",",TRUE,_xlfn.XLOOKUP(_xlfn.TEXTSPLIT(H40,","),BLOCK_LIBRARY!A:A,BLOCK_LIBRARY!B:B,"NOT FOUND"))</f>
        <v>AC_Card_Reader,DC_Door_Contact_Recessed,DC_Door_Contact_Recessed,EP_Electric_Panic_Hdwr,EP_Electric_Panic_Hdwr,AO_Auto_Operator</v>
      </c>
    </row>
    <row r="41" spans="1:9" x14ac:dyDescent="0.25">
      <c r="A41">
        <f t="shared" si="0"/>
        <v>40</v>
      </c>
      <c r="B41" s="2" t="s">
        <v>99</v>
      </c>
      <c r="C41" s="2" t="s">
        <v>92</v>
      </c>
      <c r="D41" s="2" t="s">
        <v>47</v>
      </c>
      <c r="E41" t="str">
        <f>_xlfn.XLOOKUP(D41,PANEL_LIBRARY!A:A,PANEL_LIBRARY!B:B,"NOT FOUND")</f>
        <v>ACP_FULL_W_Power_Supply</v>
      </c>
      <c r="F41" t="s">
        <v>108</v>
      </c>
      <c r="G41" s="2">
        <v>8</v>
      </c>
      <c r="H41" t="str">
        <f>_xlfn.XLOOKUP(G41, DOOR_TYPES!A:A, DOOR_TYPES!B:B, "")</f>
        <v>DA</v>
      </c>
      <c r="I41" t="str" cm="1">
        <f t="array" ref="I41">_xlfn.TEXTJOIN(",",TRUE,_xlfn.XLOOKUP(_xlfn.TEXTSPLIT(H41,","),BLOCK_LIBRARY!A:A,BLOCK_LIBRARY!B:B,"NOT FOUND"))</f>
        <v>DA_Duress_Alarm</v>
      </c>
    </row>
    <row r="42" spans="1:9" x14ac:dyDescent="0.25">
      <c r="A42">
        <f t="shared" si="0"/>
        <v>41</v>
      </c>
      <c r="B42" s="2" t="s">
        <v>100</v>
      </c>
      <c r="C42" s="2" t="s">
        <v>92</v>
      </c>
      <c r="D42" s="2" t="s">
        <v>47</v>
      </c>
      <c r="E42" t="str">
        <f>_xlfn.XLOOKUP(D42,PANEL_LIBRARY!A:A,PANEL_LIBRARY!B:B,"NOT FOUND")</f>
        <v>ACP_FULL_W_Power_Supply</v>
      </c>
      <c r="F42" t="s">
        <v>54</v>
      </c>
      <c r="G42" s="2">
        <v>1</v>
      </c>
      <c r="H42" t="str">
        <f>_xlfn.XLOOKUP(G42, DOOR_TYPES!A:A, DOOR_TYPES!B:B, "")</f>
        <v>CR,DC,ES,RX</v>
      </c>
      <c r="I42" t="str" cm="1">
        <f t="array" ref="I42">_xlfn.TEXTJOIN(",",TRUE,_xlfn.XLOOKUP(_xlfn.TEXTSPLIT(H42,","),BLOCK_LIBRARY!A:A,BLOCK_LIBRARY!B:B,"NOT FOUND"))</f>
        <v>AC_Card_Reader,DC_Door_Contact_Recessed,ES_Electric_Strike,RX_Motion_REX</v>
      </c>
    </row>
    <row r="43" spans="1:9" x14ac:dyDescent="0.25">
      <c r="A43">
        <f t="shared" si="0"/>
        <v>42</v>
      </c>
      <c r="B43" s="2" t="s">
        <v>101</v>
      </c>
      <c r="C43" s="2" t="s">
        <v>92</v>
      </c>
      <c r="D43" s="2" t="s">
        <v>47</v>
      </c>
      <c r="E43" t="str">
        <f>_xlfn.XLOOKUP(D43,PANEL_LIBRARY!A:A,PANEL_LIBRARY!B:B,"NOT FOUND")</f>
        <v>ACP_FULL_W_Power_Supply</v>
      </c>
      <c r="F43" t="s">
        <v>54</v>
      </c>
      <c r="G43" s="2">
        <v>2</v>
      </c>
      <c r="H43" t="str">
        <f>_xlfn.XLOOKUP(G43, DOOR_TYPES!A:A, DOOR_TYPES!B:B, "")</f>
        <v>CR,ES</v>
      </c>
      <c r="I43" t="str" cm="1">
        <f t="array" ref="I43">_xlfn.TEXTJOIN(",",TRUE,_xlfn.XLOOKUP(_xlfn.TEXTSPLIT(H43,","),BLOCK_LIBRARY!A:A,BLOCK_LIBRARY!B:B,"NOT FOUND"))</f>
        <v>AC_Card_Reader,ES_Electric_Strike</v>
      </c>
    </row>
    <row r="44" spans="1:9" x14ac:dyDescent="0.25">
      <c r="A44">
        <f t="shared" si="0"/>
        <v>43</v>
      </c>
      <c r="B44" s="2" t="s">
        <v>102</v>
      </c>
      <c r="C44" s="2" t="s">
        <v>92</v>
      </c>
      <c r="D44" s="2" t="s">
        <v>47</v>
      </c>
      <c r="E44" t="str">
        <f>_xlfn.XLOOKUP(D44,PANEL_LIBRARY!A:A,PANEL_LIBRARY!B:B,"NOT FOUND")</f>
        <v>ACP_FULL_W_Power_Supply</v>
      </c>
      <c r="F44" t="s">
        <v>108</v>
      </c>
      <c r="G44" s="2">
        <v>3</v>
      </c>
      <c r="H44" t="str">
        <f>_xlfn.XLOOKUP(G44, DOOR_TYPES!A:A, DOOR_TYPES!B:B, "")</f>
        <v>DC</v>
      </c>
      <c r="I44" t="str" cm="1">
        <f t="array" ref="I44">_xlfn.TEXTJOIN(",",TRUE,_xlfn.XLOOKUP(_xlfn.TEXTSPLIT(H44,","),BLOCK_LIBRARY!A:A,BLOCK_LIBRARY!B:B,"NOT FOUND"))</f>
        <v>DC_Door_Contact_Recessed</v>
      </c>
    </row>
    <row r="45" spans="1:9" x14ac:dyDescent="0.25">
      <c r="A45">
        <f t="shared" si="0"/>
        <v>44</v>
      </c>
      <c r="B45" s="2" t="s">
        <v>103</v>
      </c>
      <c r="C45" s="2" t="s">
        <v>92</v>
      </c>
      <c r="D45" s="2" t="s">
        <v>47</v>
      </c>
      <c r="E45" t="str">
        <f>_xlfn.XLOOKUP(D45,PANEL_LIBRARY!A:A,PANEL_LIBRARY!B:B,"NOT FOUND")</f>
        <v>ACP_FULL_W_Power_Supply</v>
      </c>
      <c r="F45" t="s">
        <v>54</v>
      </c>
      <c r="G45" s="2">
        <v>4</v>
      </c>
      <c r="H45" t="str">
        <f>_xlfn.XLOOKUP(G45, DOOR_TYPES!A:A, DOOR_TYPES!B:B, "")</f>
        <v>CR,DC</v>
      </c>
      <c r="I45" t="str" cm="1">
        <f t="array" ref="I45">_xlfn.TEXTJOIN(",",TRUE,_xlfn.XLOOKUP(_xlfn.TEXTSPLIT(H45,","),BLOCK_LIBRARY!A:A,BLOCK_LIBRARY!B:B,"NOT FOUND"))</f>
        <v>AC_Card_Reader,DC_Door_Contact_Recessed</v>
      </c>
    </row>
    <row r="46" spans="1:9" x14ac:dyDescent="0.25">
      <c r="A46">
        <f t="shared" si="0"/>
        <v>45</v>
      </c>
      <c r="B46" s="2" t="s">
        <v>104</v>
      </c>
      <c r="C46" s="2" t="s">
        <v>92</v>
      </c>
      <c r="D46" s="2" t="s">
        <v>47</v>
      </c>
      <c r="E46" t="str">
        <f>_xlfn.XLOOKUP(D46,PANEL_LIBRARY!A:A,PANEL_LIBRARY!B:B,"NOT FOUND")</f>
        <v>ACP_FULL_W_Power_Supply</v>
      </c>
      <c r="F46" t="s">
        <v>13</v>
      </c>
      <c r="G46" s="2">
        <v>5</v>
      </c>
      <c r="H46" t="str">
        <f>_xlfn.XLOOKUP(G46, DOOR_TYPES!A:A, DOOR_TYPES!B:B, "")</f>
        <v>CR,CR,DC,ES</v>
      </c>
      <c r="I46" t="str" cm="1">
        <f t="array" ref="I46">_xlfn.TEXTJOIN(",",TRUE,_xlfn.XLOOKUP(_xlfn.TEXTSPLIT(H46,","),BLOCK_LIBRARY!A:A,BLOCK_LIBRARY!B:B,"NOT FOUND"))</f>
        <v>AC_Card_Reader,AC_Card_Reader,DC_Door_Contact_Recessed,ES_Electric_Strike</v>
      </c>
    </row>
    <row r="47" spans="1:9" x14ac:dyDescent="0.25">
      <c r="A47">
        <f t="shared" si="0"/>
        <v>46</v>
      </c>
      <c r="B47" s="2" t="s">
        <v>105</v>
      </c>
      <c r="C47" s="2" t="s">
        <v>92</v>
      </c>
      <c r="D47" s="2" t="s">
        <v>47</v>
      </c>
      <c r="E47" t="str">
        <f>_xlfn.XLOOKUP(D47,PANEL_LIBRARY!A:A,PANEL_LIBRARY!B:B,"NOT FOUND")</f>
        <v>ACP_FULL_W_Power_Supply</v>
      </c>
      <c r="F47" t="s">
        <v>54</v>
      </c>
      <c r="G47" s="2">
        <v>6</v>
      </c>
      <c r="H47" t="str">
        <f>_xlfn.XLOOKUP(G47, DOOR_TYPES!A:A, DOOR_TYPES!B:B, "")</f>
        <v>CR,DC,DC,EP,EP</v>
      </c>
      <c r="I47" t="str" cm="1">
        <f t="array" ref="I47">_xlfn.TEXTJOIN(",",TRUE,_xlfn.XLOOKUP(_xlfn.TEXTSPLIT(H47,","),BLOCK_LIBRARY!A:A,BLOCK_LIBRARY!B:B,"NOT FOUND"))</f>
        <v>AC_Card_Reader,DC_Door_Contact_Recessed,DC_Door_Contact_Recessed,EP_Electric_Panic_Hdwr,EP_Electric_Panic_Hdwr</v>
      </c>
    </row>
    <row r="48" spans="1:9" x14ac:dyDescent="0.25">
      <c r="A48">
        <f t="shared" si="0"/>
        <v>47</v>
      </c>
      <c r="B48" s="2" t="s">
        <v>106</v>
      </c>
      <c r="C48" s="2" t="s">
        <v>92</v>
      </c>
      <c r="D48" s="2" t="s">
        <v>47</v>
      </c>
      <c r="E48" t="str">
        <f>_xlfn.XLOOKUP(D48,PANEL_LIBRARY!A:A,PANEL_LIBRARY!B:B,"NOT FOUND")</f>
        <v>ACP_FULL_W_Power_Supply</v>
      </c>
      <c r="F48" t="s">
        <v>54</v>
      </c>
      <c r="G48" s="2">
        <v>7</v>
      </c>
      <c r="H48" t="str">
        <f>_xlfn.XLOOKUP(G48, DOOR_TYPES!A:A, DOOR_TYPES!B:B, "")</f>
        <v>CR,DC,DC,EP,EP,AO</v>
      </c>
      <c r="I48" t="str" cm="1">
        <f t="array" ref="I48">_xlfn.TEXTJOIN(",",TRUE,_xlfn.XLOOKUP(_xlfn.TEXTSPLIT(H48,","),BLOCK_LIBRARY!A:A,BLOCK_LIBRARY!B:B,"NOT FOUND"))</f>
        <v>AC_Card_Reader,DC_Door_Contact_Recessed,DC_Door_Contact_Recessed,EP_Electric_Panic_Hdwr,EP_Electric_Panic_Hdwr,AO_Auto_Operator</v>
      </c>
    </row>
    <row r="49" spans="1:9" x14ac:dyDescent="0.25">
      <c r="A49">
        <f t="shared" si="0"/>
        <v>48</v>
      </c>
      <c r="B49" s="2" t="s">
        <v>107</v>
      </c>
      <c r="C49" s="2" t="s">
        <v>92</v>
      </c>
      <c r="D49" s="2" t="s">
        <v>47</v>
      </c>
      <c r="E49" t="str">
        <f>_xlfn.XLOOKUP(D49,PANEL_LIBRARY!A:A,PANEL_LIBRARY!B:B,"NOT FOUND")</f>
        <v>ACP_FULL_W_Power_Supply</v>
      </c>
      <c r="F49" t="s">
        <v>108</v>
      </c>
      <c r="G49" s="2">
        <v>8</v>
      </c>
      <c r="H49" t="str">
        <f>_xlfn.XLOOKUP(G49, DOOR_TYPES!A:A, DOOR_TYPES!B:B, "")</f>
        <v>DA</v>
      </c>
      <c r="I49" t="str" cm="1">
        <f t="array" ref="I49">_xlfn.TEXTJOIN(",",TRUE,_xlfn.XLOOKUP(_xlfn.TEXTSPLIT(H49,","),BLOCK_LIBRARY!A:A,BLOCK_LIBRARY!B:B,"NOT FOUND"))</f>
        <v>DA_Duress_Alarm</v>
      </c>
    </row>
  </sheetData>
  <dataValidations count="2">
    <dataValidation type="list" allowBlank="1" showInputMessage="1" showErrorMessage="1" sqref="E50:E1048576" xr:uid="{E1386D54-64AC-4E76-9EAC-D0446B7266F0}">
      <formula1>"1,2,4,8,16,24,32"</formula1>
    </dataValidation>
    <dataValidation type="list" allowBlank="1" showInputMessage="1" showErrorMessage="1" sqref="D1:D1048576" xr:uid="{A53E1EFD-81A1-477A-AC82-7D530AA0FFA4}">
      <formula1>"ACP, ACP_PS"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22E73D-B27D-41D3-A3E2-27FCAC5349E3}">
          <x14:formula1>
            <xm:f>DOOR_TYPES!$A$2:$A$100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E3FE-DA99-460B-B1C1-9EC579B94296}">
  <dimension ref="A1:C9"/>
  <sheetViews>
    <sheetView workbookViewId="0">
      <selection activeCell="I17" sqref="I17"/>
    </sheetView>
  </sheetViews>
  <sheetFormatPr defaultRowHeight="15" x14ac:dyDescent="0.25"/>
  <cols>
    <col min="1" max="1" width="15.7109375" customWidth="1"/>
    <col min="2" max="2" width="20" customWidth="1"/>
    <col min="3" max="3" width="15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3</v>
      </c>
      <c r="C2" s="2">
        <v>1</v>
      </c>
    </row>
    <row r="3" spans="1:3" x14ac:dyDescent="0.25">
      <c r="A3" s="2">
        <v>2</v>
      </c>
      <c r="B3" s="2" t="s">
        <v>4</v>
      </c>
      <c r="C3" s="2">
        <v>1</v>
      </c>
    </row>
    <row r="4" spans="1:3" x14ac:dyDescent="0.25">
      <c r="A4" s="2">
        <v>3</v>
      </c>
      <c r="B4" s="2" t="s">
        <v>5</v>
      </c>
      <c r="C4" s="2">
        <v>0</v>
      </c>
    </row>
    <row r="5" spans="1:3" x14ac:dyDescent="0.25">
      <c r="A5" s="2">
        <v>4</v>
      </c>
      <c r="B5" s="2" t="s">
        <v>6</v>
      </c>
      <c r="C5" s="2">
        <v>1</v>
      </c>
    </row>
    <row r="6" spans="1:3" x14ac:dyDescent="0.25">
      <c r="A6" s="2">
        <v>5</v>
      </c>
      <c r="B6" s="2" t="s">
        <v>53</v>
      </c>
      <c r="C6" s="2">
        <v>2</v>
      </c>
    </row>
    <row r="7" spans="1:3" x14ac:dyDescent="0.25">
      <c r="A7" s="2">
        <v>6</v>
      </c>
      <c r="B7" s="2" t="s">
        <v>57</v>
      </c>
      <c r="C7" s="2">
        <v>1</v>
      </c>
    </row>
    <row r="8" spans="1:3" ht="30" x14ac:dyDescent="0.25">
      <c r="A8" s="2">
        <v>7</v>
      </c>
      <c r="B8" s="2" t="s">
        <v>58</v>
      </c>
      <c r="C8" s="2">
        <v>1</v>
      </c>
    </row>
    <row r="9" spans="1:3" x14ac:dyDescent="0.25">
      <c r="A9" s="2">
        <v>8</v>
      </c>
      <c r="B9" s="2" t="s">
        <v>31</v>
      </c>
      <c r="C9" s="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F4B3-7246-48FC-8713-1F2A5260E7E6}">
  <dimension ref="A1:C11"/>
  <sheetViews>
    <sheetView workbookViewId="0">
      <selection activeCell="D7" sqref="D7"/>
    </sheetView>
  </sheetViews>
  <sheetFormatPr defaultRowHeight="15" x14ac:dyDescent="0.25"/>
  <cols>
    <col min="1" max="1" width="16.5703125" customWidth="1"/>
    <col min="2" max="2" width="31.5703125" customWidth="1"/>
    <col min="3" max="3" width="37.85546875" customWidth="1"/>
  </cols>
  <sheetData>
    <row r="1" spans="1:3" x14ac:dyDescent="0.25">
      <c r="A1" s="1" t="s">
        <v>55</v>
      </c>
      <c r="B1" s="1" t="s">
        <v>45</v>
      </c>
      <c r="C1" s="1" t="s">
        <v>56</v>
      </c>
    </row>
    <row r="2" spans="1:3" x14ac:dyDescent="0.25">
      <c r="B2" t="s">
        <v>14</v>
      </c>
      <c r="C2" s="2" t="s">
        <v>36</v>
      </c>
    </row>
    <row r="3" spans="1:3" x14ac:dyDescent="0.25">
      <c r="A3" t="s">
        <v>16</v>
      </c>
      <c r="B3" t="s">
        <v>15</v>
      </c>
      <c r="C3" s="2" t="s">
        <v>37</v>
      </c>
    </row>
    <row r="4" spans="1:3" x14ac:dyDescent="0.25">
      <c r="A4" t="s">
        <v>18</v>
      </c>
      <c r="B4" t="s">
        <v>17</v>
      </c>
      <c r="C4" s="2" t="s">
        <v>40</v>
      </c>
    </row>
    <row r="5" spans="1:3" x14ac:dyDescent="0.25">
      <c r="A5" t="s">
        <v>5</v>
      </c>
      <c r="B5" t="s">
        <v>19</v>
      </c>
      <c r="C5" s="2" t="s">
        <v>41</v>
      </c>
    </row>
    <row r="6" spans="1:3" x14ac:dyDescent="0.25">
      <c r="A6" t="s">
        <v>21</v>
      </c>
      <c r="B6" t="s">
        <v>20</v>
      </c>
      <c r="C6" s="2" t="s">
        <v>42</v>
      </c>
    </row>
    <row r="7" spans="1:3" x14ac:dyDescent="0.25">
      <c r="A7" t="s">
        <v>23</v>
      </c>
      <c r="B7" t="s">
        <v>22</v>
      </c>
      <c r="C7" s="2" t="s">
        <v>34</v>
      </c>
    </row>
    <row r="8" spans="1:3" x14ac:dyDescent="0.25">
      <c r="A8" t="s">
        <v>26</v>
      </c>
      <c r="B8" t="s">
        <v>25</v>
      </c>
      <c r="C8" s="2" t="s">
        <v>35</v>
      </c>
    </row>
    <row r="9" spans="1:3" x14ac:dyDescent="0.25">
      <c r="A9" t="s">
        <v>28</v>
      </c>
      <c r="B9" t="s">
        <v>27</v>
      </c>
      <c r="C9" s="2" t="s">
        <v>38</v>
      </c>
    </row>
    <row r="10" spans="1:3" x14ac:dyDescent="0.25">
      <c r="A10" t="s">
        <v>31</v>
      </c>
      <c r="B10" t="s">
        <v>30</v>
      </c>
      <c r="C10" s="2" t="s">
        <v>39</v>
      </c>
    </row>
    <row r="11" spans="1:3" x14ac:dyDescent="0.25">
      <c r="A11" t="s">
        <v>33</v>
      </c>
      <c r="B11" t="s">
        <v>32</v>
      </c>
      <c r="C11" s="2" t="s">
        <v>43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623F-9FF7-4D2C-8E14-405BB9437B26}">
  <dimension ref="A1:D9"/>
  <sheetViews>
    <sheetView tabSelected="1" workbookViewId="0">
      <selection activeCell="M8" sqref="M8"/>
    </sheetView>
  </sheetViews>
  <sheetFormatPr defaultRowHeight="15" x14ac:dyDescent="0.25"/>
  <cols>
    <col min="1" max="1" width="21.7109375" customWidth="1"/>
    <col min="2" max="2" width="35.28515625" customWidth="1"/>
    <col min="3" max="3" width="32" customWidth="1"/>
    <col min="4" max="4" width="34.5703125" bestFit="1" customWidth="1"/>
  </cols>
  <sheetData>
    <row r="1" spans="1:4" x14ac:dyDescent="0.25">
      <c r="A1" s="1" t="s">
        <v>44</v>
      </c>
      <c r="B1" s="1" t="s">
        <v>45</v>
      </c>
      <c r="C1" s="1" t="s">
        <v>48</v>
      </c>
      <c r="D1" t="s">
        <v>109</v>
      </c>
    </row>
    <row r="2" spans="1:4" x14ac:dyDescent="0.25">
      <c r="A2" s="2" t="s">
        <v>46</v>
      </c>
      <c r="B2" s="2" t="s">
        <v>24</v>
      </c>
      <c r="C2" s="2" t="s">
        <v>49</v>
      </c>
      <c r="D2" t="s">
        <v>110</v>
      </c>
    </row>
    <row r="3" spans="1:4" x14ac:dyDescent="0.25">
      <c r="A3" s="2" t="s">
        <v>47</v>
      </c>
      <c r="B3" s="2" t="s">
        <v>29</v>
      </c>
      <c r="C3" s="2" t="s">
        <v>50</v>
      </c>
    </row>
    <row r="4" spans="1:4" x14ac:dyDescent="0.25">
      <c r="A4" s="2"/>
      <c r="B4" s="2"/>
      <c r="C4" s="2"/>
    </row>
    <row r="9" spans="1:4" x14ac:dyDescent="0.25">
      <c r="A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DOORS</vt:lpstr>
      <vt:lpstr>DOOR_TYPES</vt:lpstr>
      <vt:lpstr>BLOCK_LIBRARY</vt:lpstr>
      <vt:lpstr>PANEL_LIBRARY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</dc:creator>
  <cp:lastModifiedBy>Darko Skocic</cp:lastModifiedBy>
  <dcterms:created xsi:type="dcterms:W3CDTF">2015-06-05T18:17:20Z</dcterms:created>
  <dcterms:modified xsi:type="dcterms:W3CDTF">2026-07-17T02:32:03Z</dcterms:modified>
</cp:coreProperties>
</file>